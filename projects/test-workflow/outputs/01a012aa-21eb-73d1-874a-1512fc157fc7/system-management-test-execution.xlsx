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19733e14f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汇总" sheetId="1" r:id="R2f127dd149ba4a39"/>
    <x:sheet xmlns:r="http://schemas.openxmlformats.org/officeDocument/2006/relationships" name="用例执行明细" sheetId="2" r:id="Rb668ac7163b54ef1"/>
    <x:sheet xmlns:r="http://schemas.openxmlformats.org/officeDocument/2006/relationships" name="实现说明" sheetId="3" r:id="Rceb6cbf157aa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200" fontId="0" fillId="0" borderId="9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/>
    <x:xf numFmtId="0" fontId="4" fillId="5" borderId="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2d6f3c0704332" /><Relationship Type="http://schemas.openxmlformats.org/officeDocument/2006/relationships/theme" Target="/xl/theme/theme1.xml" Id="Red8c7625d4024cfa" /><Relationship Type="http://schemas.openxmlformats.org/officeDocument/2006/relationships/sharedStrings" Target="/xl/sharedStrings.xml" Id="R3a39376c02fa4109" /><Relationship Type="http://schemas.openxmlformats.org/officeDocument/2006/relationships/worksheet" Target="/xl/worksheets/sheet1.xml" Id="R2f127dd149ba4a39" /><Relationship Type="http://schemas.openxmlformats.org/officeDocument/2006/relationships/worksheet" Target="/xl/worksheets/sheet2.xml" Id="Rb668ac7163b54ef1" /><Relationship Type="http://schemas.openxmlformats.org/officeDocument/2006/relationships/worksheet" Target="/xl/worksheets/sheet3.xml" Id="Rceb6cbf157aa460b" /></Relationships>
</file>

<file path=xl/tables/table1.xml><?xml version="1.0" encoding="utf-8"?>
<x:table xmlns:x="http://schemas.openxmlformats.org/spreadsheetml/2006/main" id="1" name="WebSystemManagementExecutionTable" displayName="WebSystemManagementExecutionTable" ref="A1:K33" headerRowCount="1" totalsRowCount="0" totalsRowShown="0">
  <x:tableColumns count="11">
    <x:tableColumn id="1" name="TestCaseId"/>
    <x:tableColumn id="2" name="模块"/>
    <x:tableColumn id="3" name="测试类型"/>
    <x:tableColumn id="4" name="操作步骤"/>
    <x:tableColumn id="5" name="预期结果"/>
    <x:tableColumn id="6" name="实际结果"/>
    <x:tableColumn id="7" name="状态"/>
    <x:tableColumn id="8" name="失败/错误分类"/>
    <x:tableColumn id="9" name="截图证据"/>
    <x:tableColumn id="10" name="证据类型"/>
    <x:tableColumn id="11" name="执行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b227fc533047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" hidden="0" customWidth="1"/>
    <x:col min="4" max="4" width="18" hidden="0" customWidth="1"/>
    <x:col min="5" max="5" width="42" hidden="0" customWidth="1"/>
  </x:cols>
  <x:sheetData>
    <x:row r="1" ht="34" customHeight="1">
      <x:c r="A1" s="23" t="str">
        <x:v>Web 系统管理真实页面测试执行汇总</x:v>
      </x:c>
      <x:c r="B1" s="23"/>
      <x:c r="C1" s="23"/>
      <x:c r="D1" s="23"/>
      <x:c r="E1" s="40"/>
    </x:row>
    <x:row r="2">
      <x:c r="A2" s="40"/>
      <x:c r="B2" s="40"/>
      <x:c r="C2" s="40"/>
      <x:c r="D2" s="40"/>
      <x:c r="E2" s="40"/>
    </x:row>
    <x:row r="3">
      <x:c r="A3" s="41" t="str">
        <x:v>指标</x:v>
      </x:c>
      <x:c r="B3" s="41" t="str">
        <x:v>数值</x:v>
      </x:c>
      <x:c r="C3" s="40"/>
      <x:c r="D3" s="41" t="str">
        <x:v>最终状态</x:v>
      </x:c>
      <x:c r="E3" s="41" t="str">
        <x:v>核验结果</x:v>
      </x:c>
    </x:row>
    <x:row r="4">
      <x:c r="A4" s="42" t="str">
        <x:v>总用例数</x:v>
      </x:c>
      <x:c r="B4" s="43" t="n">
        <x:f>COUNTA('用例执行明细'!A2:A33)</x:f>
        <x:v>32</x:v>
      </x:c>
      <x:c r="C4" s="40"/>
      <x:c r="D4" s="42" t="str">
        <x:v>CS 用户</x:v>
      </x:c>
      <x:c r="E4" s="43" t="str">
        <x:v>存在且启用</x:v>
      </x:c>
    </x:row>
    <x:row r="5">
      <x:c r="A5" s="44" t="str">
        <x:v>PASS</x:v>
      </x:c>
      <x:c r="B5" s="45" t="n">
        <x:f>COUNTIF('用例执行明细'!G2:G33,"PASS")</x:f>
        <x:v>26</x:v>
      </x:c>
      <x:c r="C5" s="40"/>
      <x:c r="D5" s="44" t="str">
        <x:v>CS 角色</x:v>
      </x:c>
      <x:c r="E5" s="45" t="str">
        <x:v>存在，编码/名称/描述均为 CS</x:v>
      </x:c>
    </x:row>
    <x:row r="6">
      <x:c r="A6" s="44" t="str">
        <x:v>FAIL</x:v>
      </x:c>
      <x:c r="B6" s="45" t="n">
        <x:f>COUNTIF('用例执行明细'!G2:G33,"FAIL")</x:f>
        <x:v>2</x:v>
      </x:c>
      <x:c r="C6" s="40"/>
      <x:c r="D6" s="44" t="str">
        <x:v>权限节点</x:v>
      </x:c>
      <x:c r="E6" s="45" t="str">
        <x:v>28/28 全部勾选</x:v>
      </x:c>
    </x:row>
    <x:row r="7">
      <x:c r="A7" s="44" t="str">
        <x:v>ERROR</x:v>
      </x:c>
      <x:c r="B7" s="45" t="n">
        <x:f>COUNTIF('用例执行明细'!G2:G33,"ERROR")</x:f>
        <x:v>4</x:v>
      </x:c>
      <x:c r="C7" s="40"/>
      <x:c r="D7" s="44" t="str">
        <x:v>用户角色关联</x:v>
      </x:c>
      <x:c r="E7" s="45" t="str">
        <x:v>CS 用户已关联 CS 角色</x:v>
      </x:c>
    </x:row>
    <x:row r="8">
      <x:c r="A8" s="44" t="str">
        <x:v>成功率</x:v>
      </x:c>
      <x:c r="B8" s="46" t="n">
        <x:f>IF(B4=0,0,B5/B4)</x:f>
        <x:v>0.8125</x:v>
      </x:c>
      <x:c r="C8" s="40"/>
      <x:c r="D8" s="47" t="str">
        <x:v>临时数据清理</x:v>
      </x:c>
      <x:c r="E8" s="48" t="str">
        <x:v>菜单、外部系统已删除；字典类型因系统限制保留</x:v>
      </x:c>
    </x:row>
    <x:row r="9">
      <x:c r="A9" s="47" t="str">
        <x:v>失败+错误数</x:v>
      </x:c>
      <x:c r="B9" s="48" t="n">
        <x:f>B6+B7</x:f>
        <x:v>6</x:v>
      </x:c>
      <x:c r="C9" s="40"/>
      <x:c r="D9" s="40"/>
      <x:c r="E9" s="40"/>
    </x:row>
    <x:row r="10">
      <x:c r="A10" s="40"/>
      <x:c r="B10" s="40"/>
      <x:c r="C10" s="40"/>
      <x:c r="D10" s="40"/>
      <x:c r="E10" s="40"/>
    </x:row>
    <x:row r="11">
      <x:c r="A11" s="49" t="str">
        <x:v>执行边界</x:v>
      </x:c>
      <x:c r="B11" s="49"/>
      <x:c r="C11" s="49"/>
      <x:c r="D11" s="49"/>
      <x:c r="E11" s="40"/>
    </x:row>
    <x:row r="12" ht="34" customHeight="1">
      <x:c r="A12" s="38" t="str">
        <x:v>真实页面操作：登录、菜单导航、表单填写、按钮点击、确认弹窗和结果读取均通过 Playwright 完成。</x:v>
      </x:c>
      <x:c r="B12" s="38"/>
      <x:c r="C12" s="38"/>
      <x:c r="D12" s="38"/>
      <x:c r="E12" s="40"/>
    </x:row>
    <x:row r="13" ht="34" customHeight="1">
      <x:c r="A13" s="38" t="str">
        <x:v>截图证据：每个用例都有截图路径，保存在 artifacts/system-management/&lt;TestCaseId&gt;/ 下，并在明细表逐行回填。</x:v>
      </x:c>
      <x:c r="B13" s="38"/>
      <x:c r="C13" s="38"/>
      <x:c r="D13" s="38"/>
      <x:c r="E13" s="40"/>
    </x:row>
    <x:row r="14" ht="34" customHeight="1">
      <x:c r="A14" s="38" t="str">
        <x:v>数据库核验：仅执行只读查询，确认用户、角色、用户角色关联和 28 条角色权限关联；未读取或保存密码字段。</x:v>
      </x:c>
      <x:c r="B14" s="38"/>
      <x:c r="C14" s="38"/>
      <x:c r="D14" s="38"/>
      <x:c r="E14" s="40"/>
    </x:row>
  </x:sheetData>
  <x:mergeCells>
    <x:mergeCell ref="A1:D1"/>
    <x:mergeCell ref="A11:D11"/>
    <x:mergeCell ref="A12:D12"/>
    <x:mergeCell ref="A13:D13"/>
    <x:mergeCell ref="A14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34" hidden="0" customWidth="1"/>
    <x:col min="7" max="7" width="11" hidden="0" customWidth="1"/>
    <x:col min="8" max="8" width="24" hidden="0" customWidth="1"/>
    <x:col min="9" max="9" width="58" hidden="0" customWidth="1"/>
    <x:col min="10" max="10" width="14" hidden="0" customWidth="1"/>
    <x:col min="11" max="11" width="14" hidden="0" customWidth="1"/>
  </x:cols>
  <x:sheetData>
    <x:row r="1" ht="30" customHeight="1">
      <x:c r="A1" s="10" t="str">
        <x:v>TestCaseId</x:v>
      </x:c>
      <x:c r="B1" s="11" t="str">
        <x:v>模块</x:v>
      </x:c>
      <x:c r="C1" s="11" t="str">
        <x:v>测试类型</x:v>
      </x:c>
      <x:c r="D1" s="11" t="str">
        <x:v>操作步骤</x:v>
      </x:c>
      <x:c r="E1" s="11" t="str">
        <x:v>预期结果</x:v>
      </x:c>
      <x:c r="F1" s="11" t="str">
        <x:v>实际结果</x:v>
      </x:c>
      <x:c r="G1" s="11" t="str">
        <x:v>状态</x:v>
      </x:c>
      <x:c r="H1" s="11" t="str">
        <x:v>失败/错误分类</x:v>
      </x:c>
      <x:c r="I1" s="11" t="str">
        <x:v>截图证据</x:v>
      </x:c>
      <x:c r="J1" s="11" t="str">
        <x:v>证据类型</x:v>
      </x:c>
      <x:c r="K1" s="12" t="str">
        <x:v>执行日期</x:v>
      </x:c>
    </x:row>
    <x:row r="2" ht="42" customHeight="1">
      <x:c r="A2" s="13" t="str">
        <x:v>TC-SM-ENV-001</x:v>
      </x:c>
      <x:c r="B2" s="14" t="str">
        <x:v>系统管理/环境</x:v>
      </x:c>
      <x:c r="C2" s="14" t="str">
        <x:v>环境与登录</x:v>
      </x:c>
      <x:c r="D2" s="14" t="str">
        <x:v>真实登录后进入用户管理页面并检查系统管理菜单和按钮</x:v>
      </x:c>
      <x:c r="E2" s="14" t="str">
        <x:v>页面可进入用户管理，显示系统管理菜单及操作按钮</x:v>
      </x:c>
      <x:c r="F2" s="14" t="str">
        <x:v>页面显示用户管理、系统管理菜单和操作按钮</x:v>
      </x:c>
      <x:c r="G2" s="15" t="str">
        <x:v>PASS</x:v>
      </x:c>
      <x:c r="H2" s="14" t="str"/>
      <x:c r="I2" s="14" t="str">
        <x:v>E:/automated-testing/artifacts/system-management/TC-SM-ENV-001/result.png</x:v>
      </x:c>
      <x:c r="J2" s="15" t="str">
        <x:v>结果截图</x:v>
      </x:c>
      <x:c r="K2" s="16" t="n">
        <x:v>46252</x:v>
      </x:c>
    </x:row>
    <x:row r="3" ht="42" customHeight="1">
      <x:c r="A3" s="13" t="str">
        <x:v>TC-SM-USER-001</x:v>
      </x:c>
      <x:c r="B3" s="14" t="str">
        <x:v>用户管理</x:v>
      </x:c>
      <x:c r="C3" s="14" t="str">
        <x:v>查询</x:v>
      </x:c>
      <x:c r="D3" s="14" t="str">
        <x:v>按登录名 CS 查询用户</x:v>
      </x:c>
      <x:c r="E3" s="14" t="str">
        <x:v>查询结果包含 CS 用户</x:v>
      </x:c>
      <x:c r="F3" s="14" t="str">
        <x:v>查询结果包含 CS</x:v>
      </x:c>
      <x:c r="G3" s="15" t="str">
        <x:v>PASS</x:v>
      </x:c>
      <x:c r="H3" s="14" t="str"/>
      <x:c r="I3" s="14" t="str">
        <x:v>E:/automated-testing/artifacts/system-management/TC-SM-USER-001/result.png</x:v>
      </x:c>
      <x:c r="J3" s="15" t="str">
        <x:v>结果截图</x:v>
      </x:c>
      <x:c r="K3" s="16" t="n">
        <x:v>46252</x:v>
      </x:c>
    </x:row>
    <x:row r="4" ht="42" customHeight="1">
      <x:c r="A4" s="13" t="str">
        <x:v>TC-SM-USER-003-UI</x:v>
      </x:c>
      <x:c r="B4" s="14" t="str">
        <x:v>用户管理</x:v>
      </x:c>
      <x:c r="C4" s="14" t="str">
        <x:v>自动化定位诊断</x:v>
      </x:c>
      <x:c r="D4" s="14" t="str">
        <x:v>使用标准 checkbox 定位选中 CS 用户</x:v>
      </x:c>
      <x:c r="E4" s="14" t="str">
        <x:v>标准定位可完成选择</x:v>
      </x:c>
      <x:c r="F4" s="14" t="str">
        <x:v>Element Plus 隐藏 checkbox 标准 check 未完成，改用稳定 label 定位继续</x:v>
      </x:c>
      <x:c r="G4" s="15" t="str">
        <x:v>ERROR</x:v>
      </x:c>
      <x:c r="H4" s="14" t="str">
        <x:v>测试脚本/控件定位适配</x:v>
      </x:c>
      <x:c r="I4" s="14" t="str">
        <x:v>E:/automated-testing/artifacts/system-management/TC-SM-USER-003/error.png</x:v>
      </x:c>
      <x:c r="J4" s="15" t="str">
        <x:v>错误截图</x:v>
      </x:c>
      <x:c r="K4" s="16" t="n">
        <x:v>46252</x:v>
      </x:c>
    </x:row>
    <x:row r="5" ht="42" customHeight="1">
      <x:c r="A5" s="13" t="str">
        <x:v>TC-SM-USER-003</x:v>
      </x:c>
      <x:c r="B5" s="14" t="str">
        <x:v>用户管理</x:v>
      </x:c>
      <x:c r="C5" s="14" t="str">
        <x:v>修改</x:v>
      </x:c>
      <x:c r="D5" s="14" t="str">
        <x:v>选中 CS 用户，打开修改并保存</x:v>
      </x:c>
      <x:c r="E5" s="14" t="str">
        <x:v>CS 用户修改保存后仍显示 CS</x:v>
      </x:c>
      <x:c r="F5" s="14" t="str">
        <x:v>用户修改保存并返回列表</x:v>
      </x:c>
      <x:c r="G5" s="15" t="str">
        <x:v>PASS</x:v>
      </x:c>
      <x:c r="H5" s="14" t="str"/>
      <x:c r="I5" s="14" t="str">
        <x:v>E:/automated-testing/artifacts/system-management/TC-SM-USER-003/result.png</x:v>
      </x:c>
      <x:c r="J5" s="15" t="str">
        <x:v>结果截图</x:v>
      </x:c>
      <x:c r="K5" s="16" t="n">
        <x:v>46252</x:v>
      </x:c>
    </x:row>
    <x:row r="6" ht="42" customHeight="1">
      <x:c r="A6" s="13" t="str">
        <x:v>TC-SM-USER-004</x:v>
      </x:c>
      <x:c r="B6" s="14" t="str">
        <x:v>用户管理</x:v>
      </x:c>
      <x:c r="C6" s="14" t="str">
        <x:v>删除</x:v>
      </x:c>
      <x:c r="D6" s="14" t="str">
        <x:v>选中 CS 用户，点击删除并确认</x:v>
      </x:c>
      <x:c r="E6" s="14" t="str">
        <x:v>CS 不再出现在列表</x:v>
      </x:c>
      <x:c r="F6" s="14" t="str">
        <x:v>CS 已被删除并显示 0 条</x:v>
      </x:c>
      <x:c r="G6" s="15" t="str">
        <x:v>PASS</x:v>
      </x:c>
      <x:c r="H6" s="14" t="str"/>
      <x:c r="I6" s="14" t="str">
        <x:v>E:/automated-testing/artifacts/system-management/TC-SM-USER-004/result.png</x:v>
      </x:c>
      <x:c r="J6" s="15" t="str">
        <x:v>结果截图</x:v>
      </x:c>
      <x:c r="K6" s="16" t="n">
        <x:v>46252</x:v>
      </x:c>
    </x:row>
    <x:row r="7" ht="42" customHeight="1">
      <x:c r="A7" s="13" t="str">
        <x:v>TC-SM-USER-002</x:v>
      </x:c>
      <x:c r="B7" s="14" t="str">
        <x:v>用户管理</x:v>
      </x:c>
      <x:c r="C7" s="14" t="str">
        <x:v>新增</x:v>
      </x:c>
      <x:c r="D7" s="14" t="str">
        <x:v>新增登录名、用户名均为 CS 的用户并保存</x:v>
      </x:c>
      <x:c r="E7" s="14" t="str">
        <x:v>新增 CS 用户成功并显示为启用</x:v>
      </x:c>
      <x:c r="F7" s="14" t="str">
        <x:v>CS 已恢复且启用</x:v>
      </x:c>
      <x:c r="G7" s="15" t="str">
        <x:v>PASS</x:v>
      </x:c>
      <x:c r="H7" s="14" t="str"/>
      <x:c r="I7" s="14" t="str">
        <x:v>E:/automated-testing/artifacts/system-management/TC-SM-USER-002/result.png</x:v>
      </x:c>
      <x:c r="J7" s="15" t="str">
        <x:v>结果截图</x:v>
      </x:c>
      <x:c r="K7" s="16" t="n">
        <x:v>46252</x:v>
      </x:c>
    </x:row>
    <x:row r="8" ht="42" customHeight="1">
      <x:c r="A8" s="13" t="str">
        <x:v>TC-SM-ROLE-001-NAV</x:v>
      </x:c>
      <x:c r="B8" s="14" t="str">
        <x:v>角色管理</x:v>
      </x:c>
      <x:c r="C8" s="14" t="str">
        <x:v>导航诊断</x:v>
      </x:c>
      <x:c r="D8" s="14" t="str">
        <x:v>从系统管理菜单定位角色管理入口</x:v>
      </x:c>
      <x:c r="E8" s="14" t="str">
        <x:v>菜单定位到角色管理页面</x:v>
      </x:c>
      <x:c r="F8" s="14" t="str">
        <x:v>当前菜单定位未找到角色入口，使用已知应用路由完成页面访问</x:v>
      </x:c>
      <x:c r="G8" s="15" t="str">
        <x:v>ERROR</x:v>
      </x:c>
      <x:c r="H8" s="14" t="str">
        <x:v>测试脚本/导航定位</x:v>
      </x:c>
      <x:c r="I8" s="14" t="str">
        <x:v>E:/automated-testing/artifacts/system-management/TC-SM-ROLE-001/navigation-error.png</x:v>
      </x:c>
      <x:c r="J8" s="15" t="str">
        <x:v>错误截图</x:v>
      </x:c>
      <x:c r="K8" s="16" t="n">
        <x:v>46252</x:v>
      </x:c>
    </x:row>
    <x:row r="9" ht="42" customHeight="1">
      <x:c r="A9" s="13" t="str">
        <x:v>TC-SM-ROLE-001</x:v>
      </x:c>
      <x:c r="B9" s="14" t="str">
        <x:v>角色管理</x:v>
      </x:c>
      <x:c r="C9" s="14" t="str">
        <x:v>新增</x:v>
      </x:c>
      <x:c r="D9" s="14" t="str">
        <x:v>新增角色编码、名称、描述均为 CS</x:v>
      </x:c>
      <x:c r="E9" s="14" t="str">
        <x:v>CS 角色新增成功并显示在列表</x:v>
      </x:c>
      <x:c r="F9" s="14" t="str">
        <x:v>CS 角色新增成功</x:v>
      </x:c>
      <x:c r="G9" s="15" t="str">
        <x:v>PASS</x:v>
      </x:c>
      <x:c r="H9" s="14" t="str"/>
      <x:c r="I9" s="14" t="str">
        <x:v>E:/automated-testing/artifacts/system-management/TC-SM-ROLE-001/result.png</x:v>
      </x:c>
      <x:c r="J9" s="15" t="str">
        <x:v>结果截图</x:v>
      </x:c>
      <x:c r="K9" s="16" t="n">
        <x:v>46252</x:v>
      </x:c>
    </x:row>
    <x:row r="10" ht="42" customHeight="1">
      <x:c r="A10" s="13" t="str">
        <x:v>TC-SM-ROLE-002</x:v>
      </x:c>
      <x:c r="B10" s="14" t="str">
        <x:v>角色管理</x:v>
      </x:c>
      <x:c r="C10" s="14" t="str">
        <x:v>修改</x:v>
      </x:c>
      <x:c r="D10" s="14" t="str">
        <x:v>选中 CS 角色，修改并保存描述</x:v>
      </x:c>
      <x:c r="E10" s="14" t="str">
        <x:v>CS 角色修改后仍正确显示</x:v>
      </x:c>
      <x:c r="F10" s="14" t="str">
        <x:v>角色修改成功并显示 CS</x:v>
      </x:c>
      <x:c r="G10" s="15" t="str">
        <x:v>PASS</x:v>
      </x:c>
      <x:c r="H10" s="14" t="str"/>
      <x:c r="I10" s="14" t="str">
        <x:v>E:/automated-testing/artifacts/system-management/TC-SM-ROLE-002/result.png</x:v>
      </x:c>
      <x:c r="J10" s="15" t="str">
        <x:v>结果截图</x:v>
      </x:c>
      <x:c r="K10" s="16" t="n">
        <x:v>46252</x:v>
      </x:c>
    </x:row>
    <x:row r="11" ht="42" customHeight="1">
      <x:c r="A11" s="13" t="str">
        <x:v>TC-SM-ROLE-003-LOCATOR</x:v>
      </x:c>
      <x:c r="B11" s="14" t="str">
        <x:v>角色管理</x:v>
      </x:c>
      <x:c r="C11" s="14" t="str">
        <x:v>自动化定位诊断</x:v>
      </x:c>
      <x:c r="D11" s="14" t="str">
        <x:v>定位权限树根节点 checkbox 并全选</x:v>
      </x:c>
      <x:c r="E11" s="14" t="str">
        <x:v>权限树定位不产生严格模式冲突</x:v>
      </x:c>
      <x:c r="F11" s="14" t="str">
        <x:v>初始定位命中父子多个 checkbox 导致严格模式错误，改用每个 treeitem 首个 label 定位继续</x:v>
      </x:c>
      <x:c r="G11" s="15" t="str">
        <x:v>ERROR</x:v>
      </x:c>
      <x:c r="H11" s="14" t="str">
        <x:v>测试脚本/控件定位适配</x:v>
      </x:c>
      <x:c r="I11" s="14" t="str">
        <x:v>E:/automated-testing/artifacts/system-management/TC-SM-ROLE-003/selection-error.png</x:v>
      </x:c>
      <x:c r="J11" s="15" t="str">
        <x:v>错误截图</x:v>
      </x:c>
      <x:c r="K11" s="16" t="n">
        <x:v>46252</x:v>
      </x:c>
    </x:row>
    <x:row r="12" ht="42" customHeight="1">
      <x:c r="A12" s="13" t="str">
        <x:v>TC-SM-ROLE-003</x:v>
      </x:c>
      <x:c r="B12" s="14" t="str">
        <x:v>角色管理</x:v>
      </x:c>
      <x:c r="C12" s="14" t="str">
        <x:v>权限分配</x:v>
      </x:c>
      <x:c r="D12" s="14" t="str">
        <x:v>打开 CS 角色权限分配，全选并保存</x:v>
      </x:c>
      <x:c r="E12" s="14" t="str">
        <x:v>全部权限勾选并保存成功</x:v>
      </x:c>
      <x:c r="F12" s="14" t="str">
        <x:v>权限对话框关闭并显示操作成功</x:v>
      </x:c>
      <x:c r="G12" s="15" t="str">
        <x:v>PASS</x:v>
      </x:c>
      <x:c r="H12" s="14" t="str"/>
      <x:c r="I12" s="14" t="str">
        <x:v>E:/automated-testing/artifacts/system-management/TC-SM-ROLE-003/result.png</x:v>
      </x:c>
      <x:c r="J12" s="15" t="str">
        <x:v>结果截图</x:v>
      </x:c>
      <x:c r="K12" s="16" t="n">
        <x:v>46252</x:v>
      </x:c>
    </x:row>
    <x:row r="13" ht="42" customHeight="1">
      <x:c r="A13" s="13" t="str">
        <x:v>TC-SM-ROLE-004</x:v>
      </x:c>
      <x:c r="B13" s="14" t="str">
        <x:v>角色管理</x:v>
      </x:c>
      <x:c r="C13" s="14" t="str">
        <x:v>删除</x:v>
      </x:c>
      <x:c r="D13" s="14" t="str">
        <x:v>删除 CS 角色并确认</x:v>
      </x:c>
      <x:c r="E13" s="14" t="str">
        <x:v>CS 角色不再存在</x:v>
      </x:c>
      <x:c r="F13" s="14" t="str">
        <x:v>角色删除成功并显示 0 条</x:v>
      </x:c>
      <x:c r="G13" s="15" t="str">
        <x:v>PASS</x:v>
      </x:c>
      <x:c r="H13" s="14" t="str"/>
      <x:c r="I13" s="14" t="str">
        <x:v>E:/automated-testing/artifacts/system-management/TC-SM-ROLE-004/deleted.png</x:v>
      </x:c>
      <x:c r="J13" s="15" t="str">
        <x:v>结果截图</x:v>
      </x:c>
      <x:c r="K13" s="16" t="n">
        <x:v>46252</x:v>
      </x:c>
    </x:row>
    <x:row r="14" ht="42" customHeight="1">
      <x:c r="A14" s="13" t="str">
        <x:v>TC-SM-ROLE-004-RESTORE</x:v>
      </x:c>
      <x:c r="B14" s="14" t="str">
        <x:v>角色管理</x:v>
      </x:c>
      <x:c r="C14" s="14" t="str">
        <x:v>恢复测试数据</x:v>
      </x:c>
      <x:c r="D14" s="14" t="str">
        <x:v>重新建立 CS 角色并恢复全部权限</x:v>
      </x:c>
      <x:c r="E14" s="14" t="str">
        <x:v>为最终用户角色核验恢复 CS 角色和权限</x:v>
      </x:c>
      <x:c r="F14" s="14" t="str">
        <x:v>CS 角色已重建并恢复权限，最终核验通过</x:v>
      </x:c>
      <x:c r="G14" s="15" t="str">
        <x:v>PASS</x:v>
      </x:c>
      <x:c r="H14" s="14" t="str"/>
      <x:c r="I14" s="14" t="str">
        <x:v>E:/automated-testing/artifacts/system-management/TC-SM-ROLE-004/permissions-restored.png</x:v>
      </x:c>
      <x:c r="J14" s="15" t="str">
        <x:v>结果截图</x:v>
      </x:c>
      <x:c r="K14" s="16" t="n">
        <x:v>46252</x:v>
      </x:c>
    </x:row>
    <x:row r="15" ht="42" customHeight="1">
      <x:c r="A15" s="13" t="str">
        <x:v>TC-SM-USER-005</x:v>
      </x:c>
      <x:c r="B15" s="14" t="str">
        <x:v>用户管理</x:v>
      </x:c>
      <x:c r="C15" s="14" t="str">
        <x:v>用户角色关联</x:v>
      </x:c>
      <x:c r="D15" s="14" t="str">
        <x:v>为 CS 用户指定 CS 角色并重新查询核验</x:v>
      </x:c>
      <x:c r="E15" s="14" t="str">
        <x:v>CS 用户角色表显示 CS / CS 且已选中</x:v>
      </x:c>
      <x:c r="F15" s="14" t="str">
        <x:v>用户列表右侧角色表显示 CS / CS，复选框已选中</x:v>
      </x:c>
      <x:c r="G15" s="15" t="str">
        <x:v>PASS</x:v>
      </x:c>
      <x:c r="H15" s="14" t="str"/>
      <x:c r="I15" s="14" t="str">
        <x:v>E:/automated-testing/artifacts/system-management/TC-SM-USER-005/verified.png</x:v>
      </x:c>
      <x:c r="J15" s="15" t="str">
        <x:v>复核截图</x:v>
      </x:c>
      <x:c r="K15" s="16" t="n">
        <x:v>46252</x:v>
      </x:c>
    </x:row>
    <x:row r="16" ht="42" customHeight="1">
      <x:c r="A16" s="13" t="str">
        <x:v>TC-SM-MENU-001</x:v>
      </x:c>
      <x:c r="B16" s="14" t="str">
        <x:v>菜单管理</x:v>
      </x:c>
      <x:c r="C16" s="14" t="str">
        <x:v>新增</x:v>
      </x:c>
      <x:c r="D16" s="14" t="str">
        <x:v>新增组件、名称、路由、地址均含 CS 的菜单</x:v>
      </x:c>
      <x:c r="E16" s="14" t="str">
        <x:v>菜单树出现 CS 测试菜单且保存成功</x:v>
      </x:c>
      <x:c r="F16" s="14" t="str">
        <x:v>菜单新增完成</x:v>
      </x:c>
      <x:c r="G16" s="15" t="str">
        <x:v>PASS</x:v>
      </x:c>
      <x:c r="H16" s="14" t="str"/>
      <x:c r="I16" s="14" t="str">
        <x:v>E:/automated-testing/artifacts/system-management/TC-SM-MENU-001/result.png</x:v>
      </x:c>
      <x:c r="J16" s="15" t="str">
        <x:v>结果截图</x:v>
      </x:c>
      <x:c r="K16" s="16" t="n">
        <x:v>46252</x:v>
      </x:c>
    </x:row>
    <x:row r="17" ht="42" customHeight="1">
      <x:c r="A17" s="13" t="str">
        <x:v>TC-SM-MENU-002</x:v>
      </x:c>
      <x:c r="B17" s="14" t="str">
        <x:v>菜单管理</x:v>
      </x:c>
      <x:c r="C17" s="14" t="str">
        <x:v>修改</x:v>
      </x:c>
      <x:c r="D17" s="14" t="str">
        <x:v>选中 CS 菜单并保存修改</x:v>
      </x:c>
      <x:c r="E17" s="14" t="str">
        <x:v>CS 菜单仍存在且保存成功</x:v>
      </x:c>
      <x:c r="F17" s="14" t="str">
        <x:v>菜单修改成功</x:v>
      </x:c>
      <x:c r="G17" s="15" t="str">
        <x:v>PASS</x:v>
      </x:c>
      <x:c r="H17" s="14" t="str"/>
      <x:c r="I17" s="14" t="str">
        <x:v>E:/automated-testing/artifacts/system-management/TC-SM-MENU-002/result.png</x:v>
      </x:c>
      <x:c r="J17" s="15" t="str">
        <x:v>结果截图</x:v>
      </x:c>
      <x:c r="K17" s="16" t="n">
        <x:v>46252</x:v>
      </x:c>
    </x:row>
    <x:row r="18" ht="42" customHeight="1">
      <x:c r="A18" s="13" t="str">
        <x:v>TC-SM-MENU-003</x:v>
      </x:c>
      <x:c r="B18" s="14" t="str">
        <x:v>菜单管理</x:v>
      </x:c>
      <x:c r="C18" s="14" t="str">
        <x:v>查询/刷新</x:v>
      </x:c>
      <x:c r="D18" s="14" t="str">
        <x:v>刷新页面并定位 CS 菜单</x:v>
      </x:c>
      <x:c r="E18" s="14" t="str">
        <x:v>刷新后菜单树可定位 CS</x:v>
      </x:c>
      <x:c r="F18" s="14" t="str">
        <x:v>CS 菜单查询结果存在</x:v>
      </x:c>
      <x:c r="G18" s="15" t="str">
        <x:v>PASS</x:v>
      </x:c>
      <x:c r="H18" s="14" t="str"/>
      <x:c r="I18" s="14" t="str">
        <x:v>E:/automated-testing/artifacts/system-management/TC-SM-MENU-003/result.png</x:v>
      </x:c>
      <x:c r="J18" s="15" t="str">
        <x:v>结果截图</x:v>
      </x:c>
      <x:c r="K18" s="16" t="n">
        <x:v>46252</x:v>
      </x:c>
    </x:row>
    <x:row r="19" ht="42" customHeight="1">
      <x:c r="A19" s="13" t="str">
        <x:v>TC-SM-MENU-004</x:v>
      </x:c>
      <x:c r="B19" s="14" t="str">
        <x:v>菜单管理</x:v>
      </x:c>
      <x:c r="C19" s="14" t="str">
        <x:v>删除</x:v>
      </x:c>
      <x:c r="D19" s="14" t="str">
        <x:v>删除 CS 菜单并确认</x:v>
      </x:c>
      <x:c r="E19" s="14" t="str">
        <x:v>菜单树不再显示 CS</x:v>
      </x:c>
      <x:c r="F19" s="14" t="str">
        <x:v>CS 临时菜单已清理</x:v>
      </x:c>
      <x:c r="G19" s="15" t="str">
        <x:v>PASS</x:v>
      </x:c>
      <x:c r="H19" s="14" t="str"/>
      <x:c r="I19" s="14" t="str">
        <x:v>E:/automated-testing/artifacts/system-management/TC-SM-MENU-004/result.png</x:v>
      </x:c>
      <x:c r="J19" s="15" t="str">
        <x:v>结果截图</x:v>
      </x:c>
      <x:c r="K19" s="16" t="n">
        <x:v>46252</x:v>
      </x:c>
    </x:row>
    <x:row r="20" ht="42" customHeight="1">
      <x:c r="A20" s="13" t="str">
        <x:v>TC-SM-MENU-005</x:v>
      </x:c>
      <x:c r="B20" s="14" t="str">
        <x:v>菜单管理</x:v>
      </x:c>
      <x:c r="C20" s="14" t="str">
        <x:v>最终复核</x:v>
      </x:c>
      <x:c r="D20" s="14" t="str">
        <x:v>删除后刷新菜单管理页面并检查导航</x:v>
      </x:c>
      <x:c r="E20" s="14" t="str">
        <x:v>树节点和系统管理导航均不再显示 CS</x:v>
      </x:c>
      <x:c r="F20" s="14" t="str">
        <x:v>刷新后树节点和系统管理子菜单均不含 CS</x:v>
      </x:c>
      <x:c r="G20" s="15" t="str">
        <x:v>PASS</x:v>
      </x:c>
      <x:c r="H20" s="14" t="str"/>
      <x:c r="I20" s="14" t="str">
        <x:v>E:/automated-testing/artifacts/system-management/TC-SM-MENU-005/result.png</x:v>
      </x:c>
      <x:c r="J20" s="15" t="str">
        <x:v>复核截图</x:v>
      </x:c>
      <x:c r="K20" s="16" t="n">
        <x:v>46252</x:v>
      </x:c>
    </x:row>
    <x:row r="21" ht="42" customHeight="1">
      <x:c r="A21" s="13" t="str">
        <x:v>TC-SM-DICT-001</x:v>
      </x:c>
      <x:c r="B21" s="14" t="str">
        <x:v>字典管理</x:v>
      </x:c>
      <x:c r="C21" s="14" t="str">
        <x:v>新增字典类型</x:v>
      </x:c>
      <x:c r="D21" s="14" t="str">
        <x:v>新增字典名称 CS、排序 99</x:v>
      </x:c>
      <x:c r="E21" s="14" t="str">
        <x:v>字典列表出现名称 CS 且保存成功</x:v>
      </x:c>
      <x:c r="F21" s="14" t="str">
        <x:v>CS 字典新增成功</x:v>
      </x:c>
      <x:c r="G21" s="15" t="str">
        <x:v>PASS</x:v>
      </x:c>
      <x:c r="H21" s="14" t="str"/>
      <x:c r="I21" s="14" t="str">
        <x:v>E:/automated-testing/artifacts/system-management/TC-SM-DICT-001/result.png</x:v>
      </x:c>
      <x:c r="J21" s="15" t="str">
        <x:v>结果截图</x:v>
      </x:c>
      <x:c r="K21" s="16" t="n">
        <x:v>46252</x:v>
      </x:c>
    </x:row>
    <x:row r="22" ht="42" customHeight="1">
      <x:c r="A22" s="13" t="str">
        <x:v>TC-SM-DICT-001-ITEM-UI</x:v>
      </x:c>
      <x:c r="B22" s="14" t="str">
        <x:v>字典管理</x:v>
      </x:c>
      <x:c r="C22" s="14" t="str">
        <x:v>自动化定位诊断</x:v>
      </x:c>
      <x:c r="D22" s="14" t="str">
        <x:v>普通点击确认保存 CS 字典子项</x:v>
      </x:c>
      <x:c r="E22" s="14" t="str">
        <x:v>普通点击可提交表单</x:v>
      </x:c>
      <x:c r="F22" s="14" t="str">
        <x:v>浏览器输入事件返回 no element at point，随后使用同一页面元素 force 点击完成保存</x:v>
      </x:c>
      <x:c r="G22" s="15" t="str">
        <x:v>ERROR</x:v>
      </x:c>
      <x:c r="H22" s="14" t="str">
        <x:v>测试脚本/浏览器交互适配</x:v>
      </x:c>
      <x:c r="I22" s="14" t="str">
        <x:v>E:/automated-testing/artifacts/system-management/TC-SM-DICT-001/item-save-error.png</x:v>
      </x:c>
      <x:c r="J22" s="15" t="str">
        <x:v>错误截图</x:v>
      </x:c>
      <x:c r="K22" s="16" t="n">
        <x:v>46252</x:v>
      </x:c>
    </x:row>
    <x:row r="23" ht="42" customHeight="1">
      <x:c r="A23" s="13" t="str">
        <x:v>TC-SM-DICT-001-ITEM</x:v>
      </x:c>
      <x:c r="B23" s="14" t="str">
        <x:v>字典管理</x:v>
      </x:c>
      <x:c r="C23" s="14" t="str">
        <x:v>新增字典子项</x:v>
      </x:c>
      <x:c r="D23" s="14" t="str">
        <x:v>在 CS 字典下新增名称 CS、排序 1 的子项</x:v>
      </x:c>
      <x:c r="E23" s="14" t="str">
        <x:v>CS 字典下显示 CS 子项</x:v>
      </x:c>
      <x:c r="F23" s="14" t="str">
        <x:v>子项 001-10-01 / CS 创建成功</x:v>
      </x:c>
      <x:c r="G23" s="15" t="str">
        <x:v>PASS</x:v>
      </x:c>
      <x:c r="H23" s="14" t="str"/>
      <x:c r="I23" s="14" t="str">
        <x:v>E:/automated-testing/artifacts/system-management/TC-SM-DICT-001/item-created.png</x:v>
      </x:c>
      <x:c r="J23" s="15" t="str">
        <x:v>结果截图</x:v>
      </x:c>
      <x:c r="K23" s="16" t="n">
        <x:v>46252</x:v>
      </x:c>
    </x:row>
    <x:row r="24" ht="42" customHeight="1">
      <x:c r="A24" s="13" t="str">
        <x:v>TC-SM-DICT-002</x:v>
      </x:c>
      <x:c r="B24" s="14" t="str">
        <x:v>字典管理</x:v>
      </x:c>
      <x:c r="C24" s="14" t="str">
        <x:v>修改</x:v>
      </x:c>
      <x:c r="D24" s="14" t="str">
        <x:v>修改 CS 字典子项排序为 2</x:v>
      </x:c>
      <x:c r="E24" s="14" t="str">
        <x:v>字典项仍存在且排序为 2</x:v>
      </x:c>
      <x:c r="F24" s="14" t="str">
        <x:v>字典修改成功</x:v>
      </x:c>
      <x:c r="G24" s="15" t="str">
        <x:v>PASS</x:v>
      </x:c>
      <x:c r="H24" s="14" t="str"/>
      <x:c r="I24" s="14" t="str">
        <x:v>E:/automated-testing/artifacts/system-management/TC-SM-DICT-002/result.png</x:v>
      </x:c>
      <x:c r="J24" s="15" t="str">
        <x:v>结果截图</x:v>
      </x:c>
      <x:c r="K24" s="16" t="n">
        <x:v>46252</x:v>
      </x:c>
    </x:row>
    <x:row r="25" ht="42" customHeight="1">
      <x:c r="A25" s="13" t="str">
        <x:v>TC-SM-DICT-003</x:v>
      </x:c>
      <x:c r="B25" s="14" t="str">
        <x:v>字典管理</x:v>
      </x:c>
      <x:c r="C25" s="14" t="str">
        <x:v>刷新/查询</x:v>
      </x:c>
      <x:c r="D25" s="14" t="str">
        <x:v>刷新后直接检查 CS 字典子项</x:v>
      </x:c>
      <x:c r="E25" s="14" t="str">
        <x:v>刷新后 CS 字典项可直接查询且排序为 2</x:v>
      </x:c>
      <x:c r="F25" s="14" t="str">
        <x:v>刷新后默认选中根节点，列表显示字典类型而非 CS 子项；选择 CS 节点后子项才出现</x:v>
      </x:c>
      <x:c r="G25" s="15" t="str">
        <x:v>FAIL</x:v>
      </x:c>
      <x:c r="H25" s="14" t="str">
        <x:v>页面默认选择/测试流程</x:v>
      </x:c>
      <x:c r="I25" s="14" t="str">
        <x:v>E:/automated-testing/artifacts/system-management/TC-SM-DICT-003/result.png</x:v>
      </x:c>
      <x:c r="J25" s="15" t="str">
        <x:v>失败截图</x:v>
      </x:c>
      <x:c r="K25" s="16" t="n">
        <x:v>46252</x:v>
      </x:c>
    </x:row>
    <x:row r="26" ht="42" customHeight="1">
      <x:c r="A26" s="13" t="str">
        <x:v>TC-SM-DICT-003-RETRY</x:v>
      </x:c>
      <x:c r="B26" s="14" t="str">
        <x:v>字典管理</x:v>
      </x:c>
      <x:c r="C26" s="14" t="str">
        <x:v>复测</x:v>
      </x:c>
      <x:c r="D26" s="14" t="str">
        <x:v>刷新后选择 CS 字典节点再查询子项</x:v>
      </x:c>
      <x:c r="E26" s="14" t="str">
        <x:v>显示 001-10-01 / CS，排序为 2</x:v>
      </x:c>
      <x:c r="F26" s="14" t="str">
        <x:v>显示 001-10-01 / CS / 排序 2</x:v>
      </x:c>
      <x:c r="G26" s="15" t="str">
        <x:v>PASS</x:v>
      </x:c>
      <x:c r="H26" s="14" t="str"/>
      <x:c r="I26" s="14" t="str">
        <x:v>E:/automated-testing/artifacts/system-management/TC-SM-DICT-003-RETRY/verified.png</x:v>
      </x:c>
      <x:c r="J26" s="15" t="str">
        <x:v>复核截图</x:v>
      </x:c>
      <x:c r="K26" s="16" t="n">
        <x:v>46252</x:v>
      </x:c>
    </x:row>
    <x:row r="27" ht="42" customHeight="1">
      <x:c r="A27" s="13" t="str">
        <x:v>TC-SM-DICT-004</x:v>
      </x:c>
      <x:c r="B27" s="14" t="str">
        <x:v>字典管理</x:v>
      </x:c>
      <x:c r="C27" s="14" t="str">
        <x:v>删除</x:v>
      </x:c>
      <x:c r="D27" s="14" t="str">
        <x:v>选中 CS 字典子项并点击删除确认</x:v>
      </x:c>
      <x:c r="E27" s="14" t="str">
        <x:v>CS 字典子项删除成功</x:v>
      </x:c>
      <x:c r="F27" s="14" t="str">
        <x:v>页面提示系统类型不可删除，子项仍存在</x:v>
      </x:c>
      <x:c r="G27" s="15" t="str">
        <x:v>FAIL</x:v>
      </x:c>
      <x:c r="H27" s="14" t="str">
        <x:v>产品页面限制</x:v>
      </x:c>
      <x:c r="I27" s="14" t="str">
        <x:v>E:/automated-testing/artifacts/system-management/TC-SM-DICT-004/result.png</x:v>
      </x:c>
      <x:c r="J27" s="15" t="str">
        <x:v>失败截图</x:v>
      </x:c>
      <x:c r="K27" s="16" t="n">
        <x:v>46252</x:v>
      </x:c>
    </x:row>
    <x:row r="28" ht="42" customHeight="1">
      <x:c r="A28" s="13" t="str">
        <x:v>TC-SM-EXSYS-001</x:v>
      </x:c>
      <x:c r="B28" s="14" t="str">
        <x:v>外部系统配置</x:v>
      </x:c>
      <x:c r="C28" s="14" t="str">
        <x:v>新增</x:v>
      </x:c>
      <x:c r="D28" s="14" t="str">
        <x:v>新增系统编码、名称、路由均为 CS 的配置</x:v>
      </x:c>
      <x:c r="E28" s="14" t="str">
        <x:v>列表出现 CS 外部系统配置</x:v>
      </x:c>
      <x:c r="F28" s="14" t="str">
        <x:v>列表出现 CS / CS / 127.0.0.1:8223 /CS，提示操作成功</x:v>
      </x:c>
      <x:c r="G28" s="15" t="str">
        <x:v>PASS</x:v>
      </x:c>
      <x:c r="H28" s="14" t="str"/>
      <x:c r="I28" s="14" t="str">
        <x:v>E:/automated-testing/artifacts/system-management/TC-SM-EXSYS-001/result.png</x:v>
      </x:c>
      <x:c r="J28" s="15" t="str">
        <x:v>结果截图</x:v>
      </x:c>
      <x:c r="K28" s="16" t="n">
        <x:v>46252</x:v>
      </x:c>
    </x:row>
    <x:row r="29" ht="42" customHeight="1">
      <x:c r="A29" s="13" t="str">
        <x:v>TC-SM-EXSYS-002</x:v>
      </x:c>
      <x:c r="B29" s="14" t="str">
        <x:v>外部系统配置</x:v>
      </x:c>
      <x:c r="C29" s="14" t="str">
        <x:v>修改</x:v>
      </x:c>
      <x:c r="D29" s="14" t="str">
        <x:v>修改 CS 外部系统地址为 127.0.0.1:8224</x:v>
      </x:c>
      <x:c r="E29" s="14" t="str">
        <x:v>CS 配置保留并显示新地址</x:v>
      </x:c>
      <x:c r="F29" s="14" t="str">
        <x:v>列表显示 CS / CS / 127.0.0.1:8224，提示操作成功</x:v>
      </x:c>
      <x:c r="G29" s="15" t="str">
        <x:v>PASS</x:v>
      </x:c>
      <x:c r="H29" s="14" t="str"/>
      <x:c r="I29" s="14" t="str">
        <x:v>E:/automated-testing/artifacts/system-management/TC-SM-EXSYS-002/result.png</x:v>
      </x:c>
      <x:c r="J29" s="15" t="str">
        <x:v>结果截图</x:v>
      </x:c>
      <x:c r="K29" s="16" t="n">
        <x:v>46252</x:v>
      </x:c>
    </x:row>
    <x:row r="30" ht="42" customHeight="1">
      <x:c r="A30" s="13" t="str">
        <x:v>TC-SM-EXSYS-003</x:v>
      </x:c>
      <x:c r="B30" s="14" t="str">
        <x:v>外部系统配置</x:v>
      </x:c>
      <x:c r="C30" s="14" t="str">
        <x:v>查询</x:v>
      </x:c>
      <x:c r="D30" s="14" t="str">
        <x:v>按系统编码 CS、系统名称 CS 查询</x:v>
      </x:c>
      <x:c r="E30" s="14" t="str">
        <x:v>结果仅返回 CS 配置</x:v>
      </x:c>
      <x:c r="F30" s="14" t="str">
        <x:v>结果仅 1 条：CS / CS / 127.0.0.1:8224</x:v>
      </x:c>
      <x:c r="G30" s="15" t="str">
        <x:v>PASS</x:v>
      </x:c>
      <x:c r="H30" s="14" t="str"/>
      <x:c r="I30" s="14" t="str">
        <x:v>E:/automated-testing/artifacts/system-management/TC-SM-EXSYS-003/result.png</x:v>
      </x:c>
      <x:c r="J30" s="15" t="str">
        <x:v>结果截图</x:v>
      </x:c>
      <x:c r="K30" s="16" t="n">
        <x:v>46252</x:v>
      </x:c>
    </x:row>
    <x:row r="31" ht="42" customHeight="1">
      <x:c r="A31" s="13" t="str">
        <x:v>TC-SM-EXSYS-004</x:v>
      </x:c>
      <x:c r="B31" s="14" t="str">
        <x:v>外部系统配置</x:v>
      </x:c>
      <x:c r="C31" s="14" t="str">
        <x:v>删除</x:v>
      </x:c>
      <x:c r="D31" s="14" t="str">
        <x:v>删除 CS 外部系统配置并确认</x:v>
      </x:c>
      <x:c r="E31" s="14" t="str">
        <x:v>列表不再包含 CS</x:v>
      </x:c>
      <x:c r="F31" s="14" t="str">
        <x:v>CS 已从列表移除，提示删除成功</x:v>
      </x:c>
      <x:c r="G31" s="15" t="str">
        <x:v>PASS</x:v>
      </x:c>
      <x:c r="H31" s="14" t="str"/>
      <x:c r="I31" s="14" t="str">
        <x:v>E:/automated-testing/artifacts/system-management/TC-SM-EXSYS-004/result.png</x:v>
      </x:c>
      <x:c r="J31" s="15" t="str">
        <x:v>结果截图</x:v>
      </x:c>
      <x:c r="K31" s="16" t="n">
        <x:v>46252</x:v>
      </x:c>
    </x:row>
    <x:row r="32" ht="42" customHeight="1">
      <x:c r="A32" s="13" t="str">
        <x:v>TC-SM-FINAL-001</x:v>
      </x:c>
      <x:c r="B32" s="14" t="str">
        <x:v>最终核验</x:v>
      </x:c>
      <x:c r="C32" s="14" t="str">
        <x:v>权限核验</x:v>
      </x:c>
      <x:c r="D32" s="14" t="str">
        <x:v>打开 CS 角色权限分配页面统计权限树</x:v>
      </x:c>
      <x:c r="E32" s="14" t="str">
        <x:v>全部权限节点均已勾选</x:v>
      </x:c>
      <x:c r="F32" s="14" t="str">
        <x:v>权限树共 28 个节点，截图中全部显示 checked</x:v>
      </x:c>
      <x:c r="G32" s="15" t="str">
        <x:v>PASS</x:v>
      </x:c>
      <x:c r="H32" s="14" t="str"/>
      <x:c r="I32" s="14" t="str">
        <x:v>E:/automated-testing/artifacts/system-management/TC-SM-FINAL-001/role-permissions.png</x:v>
      </x:c>
      <x:c r="J32" s="15" t="str">
        <x:v>最终截图</x:v>
      </x:c>
      <x:c r="K32" s="16" t="n">
        <x:v>46252</x:v>
      </x:c>
    </x:row>
    <x:row r="33" ht="42" customHeight="1">
      <x:c r="A33" s="17" t="str">
        <x:v>TC-SM-FINAL-002</x:v>
      </x:c>
      <x:c r="B33" s="18" t="str">
        <x:v>最终核验</x:v>
      </x:c>
      <x:c r="C33" s="18" t="str">
        <x:v>用户角色核验</x:v>
      </x:c>
      <x:c r="D33" s="18" t="str">
        <x:v>打开 CS 用户指定用户角色页面</x:v>
      </x:c>
      <x:c r="E33" s="18" t="str">
        <x:v>CS 用户已关联 CS 角色</x:v>
      </x:c>
      <x:c r="F33" s="18" t="str">
        <x:v>角色表及对话框中均显示 CS / CS 且复选框已选中</x:v>
      </x:c>
      <x:c r="G33" s="19" t="str">
        <x:v>PASS</x:v>
      </x:c>
      <x:c r="H33" s="18" t="str"/>
      <x:c r="I33" s="18" t="str">
        <x:v>E:/automated-testing/artifacts/system-management/TC-SM-FINAL-002/user-role.png</x:v>
      </x:c>
      <x:c r="J33" s="19" t="str">
        <x:v>最终截图</x:v>
      </x:c>
      <x:c r="K33" s="20" t="n">
        <x:v>46252</x:v>
      </x:c>
    </x:row>
  </x:sheetData>
  <x:conditionalFormatting sqref="G2:G33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ERROR"/>
  </x:conditionalFormatting>
  <x:pageMargins left="0.7" right="0.7" top="0.75" bottom="0.75" header="0.3" footer="0.3"/>
  <x:tableParts count="1">
    <x:tablePart xmlns:r="http://schemas.openxmlformats.org/officeDocument/2006/relationships" r:id="R99b227fc533047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 ht="34" customHeight="1">
      <x:c r="A1" s="23" t="str">
        <x:v>Web / Playwright 自动化测试基础实现说明</x:v>
      </x:c>
      <x:c r="B1" s="23"/>
      <x:c r="C1" s="23"/>
      <x:c r="D1" s="23"/>
    </x:row>
    <x:row r="3">
      <x:c r="A3" s="53" t="str">
        <x:v>层次</x:v>
      </x:c>
      <x:c r="B3" s="54" t="str">
        <x:v>基础实现</x:v>
      </x:c>
    </x:row>
    <x:row r="4" ht="40" customHeight="1">
      <x:c r="A4" s="55" t="str">
        <x:v>浏览器会话</x:v>
      </x:c>
      <x:c r="B4" s="56" t="str">
        <x:v>打开真实 Web 地址，复用真实登录会话；登录、路由、页面 DOM 均来自当前运行实例。</x:v>
      </x:c>
    </x:row>
    <x:row r="5" ht="40" customHeight="1">
      <x:c r="A5" s="55" t="str">
        <x:v>定位策略</x:v>
      </x:c>
      <x:c r="B5" s="56" t="str">
        <x:v>优先使用 role、label、稳定可见文本和页面语义结构；Element Plus 隐藏 checkbox 使用对应 label 结构，不使用屏幕坐标。</x:v>
      </x:c>
    </x:row>
    <x:row r="6" ht="40" customHeight="1">
      <x:c r="A6" s="55" t="str">
        <x:v>页面操作</x:v>
      </x:c>
      <x:c r="B6" s="56" t="str">
        <x:v>通过 Playwright 填充表单、点击新增/修改/删除/确认/权限分配等按钮，并使用条件等待读取页面结果。</x:v>
      </x:c>
    </x:row>
    <x:row r="7" ht="40" customHeight="1">
      <x:c r="A7" s="55" t="str">
        <x:v>证据采集</x:v>
      </x:c>
      <x:c r="B7" s="56" t="str">
        <x:v>每个 TestCaseId 在执行结束后保存一张 fullPage 结果或错误截图；截图路径回填到本 Excel 的“截图证据”列。</x:v>
      </x:c>
    </x:row>
    <x:row r="8" ht="40" customHeight="1">
      <x:c r="A8" s="55" t="str">
        <x:v>状态记录</x:v>
      </x:c>
      <x:c r="B8" s="56" t="str">
        <x:v>每次执行记录 TestCaseId、预期、实际、状态、错误分类、证据类型；状态只使用 PASS、FAIL、ERROR、BLOCKED、MANUAL、SKIPPED。</x:v>
      </x:c>
    </x:row>
    <x:row r="9" ht="40" customHeight="1">
      <x:c r="A9" s="55" t="str">
        <x:v>数据库核验</x:v>
      </x:c>
      <x:c r="B9" s="56" t="str">
        <x:v>UI 写入完成后，使用只读连接查询用户、角色、用户角色关联和角色权限关联，作为页面证据之外的交叉核验。</x:v>
      </x:c>
    </x:row>
    <x:row r="10" ht="40" customHeight="1">
      <x:c r="A10" s="57" t="str">
        <x:v>安全边界</x:v>
      </x:c>
      <x:c r="B10" s="58" t="str">
        <x:v>产品源码只读；不通过 SQL 写入、不修改产品代码、不读取或保存密码字段；测试数据只在页面范围内操作。</x:v>
      </x:c>
    </x:row>
    <x:row r="12">
      <x:c r="A12" s="59" t="str">
        <x:v>证据目录</x:v>
      </x:c>
      <x:c r="B12" s="61" t="str">
        <x:v>E:/automated-testing/artifacts/system-management</x:v>
      </x:c>
    </x:row>
    <x:row r="13">
      <x:c r="A13" s="60" t="str">
        <x:v>审计报告</x:v>
      </x:c>
      <x:c r="B13" s="62" t="str">
        <x:v>E:/automated-testing/reports/system-management-execution-summary.md</x:v>
      </x:c>
    </x:row>
  </x:sheetData>
  <x:mergeCells>
    <x:mergeCell ref="A1:D1"/>
  </x:mergeCells>
  <x:pageMargins left="0.7" right="0.7" top="0.75" bottom="0.75" header="0.3" footer="0.3"/>
</x:worksheet>
</file>